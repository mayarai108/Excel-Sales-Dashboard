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5467C0E-E300-43BE-B12E-8D1A036F7E43}" xr6:coauthVersionLast="47" xr6:coauthVersionMax="47" xr10:uidLastSave="{00000000-0000-0000-0000-000000000000}"/>
  <bookViews>
    <workbookView xWindow="-120" yWindow="-120" windowWidth="20730" windowHeight="11040" activeTab="1" xr2:uid="{4AF824B9-E393-4864-B93D-0CE81A800442}"/>
  </bookViews>
  <sheets>
    <sheet name="Sheet1" sheetId="1" r:id="rId1"/>
    <sheet name="Sheet2" sheetId="2" r:id="rId2"/>
  </sheets>
  <calcPr calcId="191029"/>
  <pivotCaches>
    <pivotCache cacheId="77" r:id="rId3"/>
    <pivotCache cacheId="89" r:id="rId4"/>
    <pivotCache cacheId="104" r:id="rId5"/>
    <pivotCache cacheId="113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_ab298798-a2c4-4cb0-b689-c080951ab937" name="Sales_Data" connection="Query - Sales_Data"/>
          <x15:modelTable id="Calendar" name="Calendar" connection="Connection"/>
        </x15:modelTables>
        <x15:modelRelationships>
          <x15:modelRelationship fromTable="Sales_Data" fromColumn="Order 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64D3D4-F2FD-47E1-A887-E07870066C84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DBFDD726-A85F-4EEC-B1B9-B5A37EA5DA09}" name="Query - Sales_Data" description="Connection to the 'Sales_Data' query in the workbook." type="100" refreshedVersion="8" minRefreshableVersion="5">
    <extLst>
      <ext xmlns:x15="http://schemas.microsoft.com/office/spreadsheetml/2010/11/main" uri="{DE250136-89BD-433C-8126-D09CA5730AF9}">
        <x15:connection id="e350f1f8-abc8-44be-9c0e-c09f56b61fde"/>
      </ext>
    </extLst>
  </connection>
  <connection id="3" xr16:uid="{FBA7BF98-1C51-4C91-BF01-78207FEB491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<sst xmlns="http://schemas.openxmlformats.org/spreadsheetml/2006/main" count="52" uniqueCount="44">
  <si>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</si>
  <si>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</si>
  <si>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</si>
  <si>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</si>
  <si>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</si>
  <si>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</si>
  <si>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</si>
  <si>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</si>
  <si>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</si>
  <si>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</si>
  <si>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</si>
  <si>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</si>
  <si>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</si>
  <si>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total sales</t>
  </si>
  <si>
    <t>total revenue</t>
  </si>
  <si>
    <t>total discount</t>
  </si>
  <si>
    <t>months</t>
  </si>
  <si>
    <t>East</t>
  </si>
  <si>
    <t>North</t>
  </si>
  <si>
    <t>South</t>
  </si>
  <si>
    <t>West</t>
  </si>
  <si>
    <t>Regions</t>
  </si>
  <si>
    <t>Bed</t>
  </si>
  <si>
    <t>Chair</t>
  </si>
  <si>
    <t>Coffee</t>
  </si>
  <si>
    <t>Headphones</t>
  </si>
  <si>
    <t>Jacket</t>
  </si>
  <si>
    <t>Jeans</t>
  </si>
  <si>
    <t>Laptop</t>
  </si>
  <si>
    <t>Mobile</t>
  </si>
  <si>
    <t>Oil</t>
  </si>
  <si>
    <t>Rice</t>
  </si>
  <si>
    <t>Shirt</t>
  </si>
  <si>
    <t>Shoes</t>
  </si>
  <si>
    <t>Snacks</t>
  </si>
  <si>
    <t>Sofa</t>
  </si>
  <si>
    <t>Table</t>
  </si>
  <si>
    <t>Tablet</t>
  </si>
  <si>
    <t xml:space="preserve">product </t>
  </si>
  <si>
    <t>Furniture</t>
  </si>
  <si>
    <t>Grocery</t>
  </si>
  <si>
    <t>Electronics</t>
  </si>
  <si>
    <t>Clothing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</si>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</sst>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[sales_databaset_project.xlsx]Sheet1!PivotTable1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Sheet1!$B$5:$B$17</c:f>
              <c:numCache>
                <c:formatCode>General</c:formatCode>
                <c:ptCount val="12"/>
                <c:pt idx="0">
                  <c:v>14281536</c:v>
                </c:pt>
                <c:pt idx="1">
                  <c:v>12998134</c:v>
                </c:pt>
                <c:pt idx="2">
                  <c:v>17028854</c:v>
                </c:pt>
                <c:pt idx="3">
                  <c:v>15575546</c:v>
                </c:pt>
                <c:pt idx="4">
                  <c:v>19373466</c:v>
                </c:pt>
                <c:pt idx="5">
                  <c:v>17070043</c:v>
                </c:pt>
                <c:pt idx="6">
                  <c:v>17480400</c:v>
                </c:pt>
                <c:pt idx="7">
                  <c:v>18340777</c:v>
                </c:pt>
                <c:pt idx="8">
                  <c:v>13951489</c:v>
                </c:pt>
                <c:pt idx="9">
                  <c:v>18431263</c:v>
                </c:pt>
                <c:pt idx="10">
                  <c:v>20048370</c:v>
                </c:pt>
                <c:pt idx="11">
                  <c:v>19811974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A-4C7A-8B0B-09C92F53DCBF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Sheet1!$C$5:$C$17</c:f>
              <c:numCache>
                <c:formatCode>General</c:formatCode>
                <c:ptCount val="12"/>
                <c:pt idx="0">
                  <c:v>12742191.849999996</c:v>
                </c:pt>
                <c:pt idx="1">
                  <c:v>11426241.030000001</c:v>
                </c:pt>
                <c:pt idx="2">
                  <c:v>15176841.500000002</c:v>
                </c:pt>
                <c:pt idx="3">
                  <c:v>13497546.580000008</c:v>
                </c:pt>
                <c:pt idx="4">
                  <c:v>16993393.479999997</c:v>
                </c:pt>
                <c:pt idx="5">
                  <c:v>14858700.580000004</c:v>
                </c:pt>
                <c:pt idx="6">
                  <c:v>15221264.810000002</c:v>
                </c:pt>
                <c:pt idx="7">
                  <c:v>15972304.859999998</c:v>
                </c:pt>
                <c:pt idx="8">
                  <c:v>12165741.049999999</c:v>
                </c:pt>
                <c:pt idx="9">
                  <c:v>16003862.869999997</c:v>
                </c:pt>
                <c:pt idx="10">
                  <c:v>17884151.939999998</c:v>
                </c:pt>
                <c:pt idx="11">
                  <c:v>17797576.16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4A-4C7A-8B0B-09C92F53DCBF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total discount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Sheet1!$D$5:$D$17</c:f>
              <c:numCache>
                <c:formatCode>General</c:formatCode>
                <c:ptCount val="12"/>
                <c:pt idx="0">
                  <c:v>1539344.1499999997</c:v>
                </c:pt>
                <c:pt idx="1">
                  <c:v>1571892.97</c:v>
                </c:pt>
                <c:pt idx="2">
                  <c:v>1852012.4999999993</c:v>
                </c:pt>
                <c:pt idx="3">
                  <c:v>2077999.4200000004</c:v>
                </c:pt>
                <c:pt idx="4">
                  <c:v>2380072.52</c:v>
                </c:pt>
                <c:pt idx="5">
                  <c:v>2211342.42</c:v>
                </c:pt>
                <c:pt idx="6">
                  <c:v>2259135.1899999995</c:v>
                </c:pt>
                <c:pt idx="7">
                  <c:v>2368472.1400000006</c:v>
                </c:pt>
                <c:pt idx="8">
                  <c:v>1785747.95</c:v>
                </c:pt>
                <c:pt idx="9">
                  <c:v>2427400.1300000004</c:v>
                </c:pt>
                <c:pt idx="10">
                  <c:v>2164218.0599999996</c:v>
                </c:pt>
                <c:pt idx="11">
                  <c:v>2014397.840000001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4A-4C7A-8B0B-09C92F53D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428352"/>
        <c:axId val="1390433752"/>
      </c:lineChart>
      <c:catAx>
        <c:axId val="13904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33752"/>
        <c:crosses val="autoZero"/>
        <c:auto val="1"/>
        <c:lblAlgn val="ctr"/>
        <c:lblOffset val="100"/>
        <c:noMultiLvlLbl val="0"/>
      </c:catAx>
      <c:valAx>
        <c:axId val="139043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2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[sales_databaset_project.xlsx]Sheet1!PivotTable4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Sales </a:t>
            </a:r>
            <a:endParaRPr lang="en-US"/>
          </a:p>
        </c:rich>
      </c:tx>
      <c:layout>
        <c:manualLayout>
          <c:xMode val="edge"/>
          <c:yMode val="edge"/>
          <c:x val="0.39797471531198036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Sheet1!$F$12:$F$16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Sheet1!$G$12:$G$16</c:f>
              <c:numCache>
                <c:formatCode>General</c:formatCode>
                <c:ptCount val="4"/>
                <c:pt idx="0">
                  <c:v>54576880</c:v>
                </c:pt>
                <c:pt idx="1">
                  <c:v>45482060</c:v>
                </c:pt>
                <c:pt idx="2">
                  <c:v>52839017</c:v>
                </c:pt>
                <c:pt idx="3">
                  <c:v>51493895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E-449A-8F41-C8578D665338}"/>
            </c:ext>
          </c:extLst>
        </c:ser>
        <c:ser>
          <c:idx val="1"/>
          <c:order val="1"/>
          <c:tx>
            <c:strRef>
              <c:f>Sheet1!$H$11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Sheet1!$F$12:$F$16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Sheet1!$H$12:$H$16</c:f>
              <c:numCache>
                <c:formatCode>General</c:formatCode>
                <c:ptCount val="4"/>
                <c:pt idx="0">
                  <c:v>47780992.679999992</c:v>
                </c:pt>
                <c:pt idx="1">
                  <c:v>39757698.040000021</c:v>
                </c:pt>
                <c:pt idx="2">
                  <c:v>46633510.410000004</c:v>
                </c:pt>
                <c:pt idx="3">
                  <c:v>45567615.579999991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AE-449A-8F41-C8578D665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09439"/>
        <c:axId val="2807279"/>
      </c:barChart>
      <c:catAx>
        <c:axId val="2809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7279"/>
        <c:crosses val="autoZero"/>
        <c:auto val="1"/>
        <c:lblAlgn val="ctr"/>
        <c:lblOffset val="100"/>
        <c:noMultiLvlLbl val="0"/>
      </c:catAx>
      <c:valAx>
        <c:axId val="280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[sales_databaset_project.xlsx]Sheet1!PivotTable3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product sales </a:t>
            </a:r>
            <a:endParaRPr lang="en-US"/>
          </a:p>
        </c:rich>
      </c:tx>
      <c:layout>
        <c:manualLayout>
          <c:xMode val="edge"/>
          <c:yMode val="edge"/>
          <c:x val="0.3590222580445161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Sheet1!$K$4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Sheet1!$J$5:$J$21</c:f>
              <c:strCache>
                <c:ptCount val="16"/>
                <c:pt idx="0">
                  <c:v>Bed</c:v>
                </c:pt>
                <c:pt idx="1">
                  <c:v>Chair</c:v>
                </c:pt>
                <c:pt idx="2">
                  <c:v>Coffee</c:v>
                </c:pt>
                <c:pt idx="3">
                  <c:v>Headphones</c:v>
                </c:pt>
                <c:pt idx="4">
                  <c:v>Jacket</c:v>
                </c:pt>
                <c:pt idx="5">
                  <c:v>Jeans</c:v>
                </c:pt>
                <c:pt idx="6">
                  <c:v>Laptop</c:v>
                </c:pt>
                <c:pt idx="7">
                  <c:v>Mobile</c:v>
                </c:pt>
                <c:pt idx="8">
                  <c:v>Oil</c:v>
                </c:pt>
                <c:pt idx="9">
                  <c:v>Rice</c:v>
                </c:pt>
                <c:pt idx="10">
                  <c:v>Shirt</c:v>
                </c:pt>
                <c:pt idx="11">
                  <c:v>Shoes</c:v>
                </c:pt>
                <c:pt idx="12">
                  <c:v>Snacks</c:v>
                </c:pt>
                <c:pt idx="13">
                  <c:v>Sofa</c:v>
                </c:pt>
                <c:pt idx="14">
                  <c:v>Table</c:v>
                </c:pt>
                <c:pt idx="15">
                  <c:v>Tablet</c:v>
                </c:pt>
              </c:strCache>
            </c:strRef>
          </c:cat>
          <c:val>
            <c:numRef>
              <c:f>Sheet1!$K$5:$K$21</c:f>
              <c:numCache>
                <c:formatCode>General</c:formatCode>
                <c:ptCount val="16"/>
                <c:pt idx="0">
                  <c:v>13257444</c:v>
                </c:pt>
                <c:pt idx="1">
                  <c:v>13601131</c:v>
                </c:pt>
                <c:pt idx="2">
                  <c:v>14503123</c:v>
                </c:pt>
                <c:pt idx="3">
                  <c:v>9772360</c:v>
                </c:pt>
                <c:pt idx="4">
                  <c:v>14980947</c:v>
                </c:pt>
                <c:pt idx="5">
                  <c:v>17047674</c:v>
                </c:pt>
                <c:pt idx="6">
                  <c:v>13650607</c:v>
                </c:pt>
                <c:pt idx="7">
                  <c:v>10519933</c:v>
                </c:pt>
                <c:pt idx="8">
                  <c:v>11608083</c:v>
                </c:pt>
                <c:pt idx="9">
                  <c:v>13359044</c:v>
                </c:pt>
                <c:pt idx="10">
                  <c:v>8553177</c:v>
                </c:pt>
                <c:pt idx="11">
                  <c:v>13995082</c:v>
                </c:pt>
                <c:pt idx="12">
                  <c:v>12023645</c:v>
                </c:pt>
                <c:pt idx="13">
                  <c:v>13128169</c:v>
                </c:pt>
                <c:pt idx="14">
                  <c:v>12852273</c:v>
                </c:pt>
                <c:pt idx="15">
                  <c:v>11539160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D-44D0-9A25-49CEF9B12920}"/>
            </c:ext>
          </c:extLst>
        </c:ser>
        <c:ser>
          <c:idx val="1"/>
          <c:order val="1"/>
          <c:tx>
            <c:strRef>
              <c:f>Sheet1!$L$4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Sheet1!$J$5:$J$21</c:f>
              <c:strCache>
                <c:ptCount val="16"/>
                <c:pt idx="0">
                  <c:v>Bed</c:v>
                </c:pt>
                <c:pt idx="1">
                  <c:v>Chair</c:v>
                </c:pt>
                <c:pt idx="2">
                  <c:v>Coffee</c:v>
                </c:pt>
                <c:pt idx="3">
                  <c:v>Headphones</c:v>
                </c:pt>
                <c:pt idx="4">
                  <c:v>Jacket</c:v>
                </c:pt>
                <c:pt idx="5">
                  <c:v>Jeans</c:v>
                </c:pt>
                <c:pt idx="6">
                  <c:v>Laptop</c:v>
                </c:pt>
                <c:pt idx="7">
                  <c:v>Mobile</c:v>
                </c:pt>
                <c:pt idx="8">
                  <c:v>Oil</c:v>
                </c:pt>
                <c:pt idx="9">
                  <c:v>Rice</c:v>
                </c:pt>
                <c:pt idx="10">
                  <c:v>Shirt</c:v>
                </c:pt>
                <c:pt idx="11">
                  <c:v>Shoes</c:v>
                </c:pt>
                <c:pt idx="12">
                  <c:v>Snacks</c:v>
                </c:pt>
                <c:pt idx="13">
                  <c:v>Sofa</c:v>
                </c:pt>
                <c:pt idx="14">
                  <c:v>Table</c:v>
                </c:pt>
                <c:pt idx="15">
                  <c:v>Tablet</c:v>
                </c:pt>
              </c:strCache>
            </c:strRef>
          </c:cat>
          <c:val>
            <c:numRef>
              <c:f>Sheet1!$L$5:$L$21</c:f>
              <c:numCache>
                <c:formatCode>General</c:formatCode>
                <c:ptCount val="16"/>
                <c:pt idx="0">
                  <c:v>11687952.220000001</c:v>
                </c:pt>
                <c:pt idx="1">
                  <c:v>12171614.26</c:v>
                </c:pt>
                <c:pt idx="2">
                  <c:v>13214642.41</c:v>
                </c:pt>
                <c:pt idx="3">
                  <c:v>8499050.1999999974</c:v>
                </c:pt>
                <c:pt idx="4">
                  <c:v>12993976.229999997</c:v>
                </c:pt>
                <c:pt idx="5">
                  <c:v>14969243.269999996</c:v>
                </c:pt>
                <c:pt idx="6">
                  <c:v>11784968.519999994</c:v>
                </c:pt>
                <c:pt idx="7">
                  <c:v>9204463.3800000008</c:v>
                </c:pt>
                <c:pt idx="8">
                  <c:v>10115316.550000001</c:v>
                </c:pt>
                <c:pt idx="9">
                  <c:v>11630236.000000004</c:v>
                </c:pt>
                <c:pt idx="10">
                  <c:v>7560451.2000000011</c:v>
                </c:pt>
                <c:pt idx="11">
                  <c:v>12257321.980000002</c:v>
                </c:pt>
                <c:pt idx="12">
                  <c:v>10607420.620000001</c:v>
                </c:pt>
                <c:pt idx="13">
                  <c:v>11475530.309999997</c:v>
                </c:pt>
                <c:pt idx="14">
                  <c:v>11298413.619999997</c:v>
                </c:pt>
                <c:pt idx="15">
                  <c:v>10269215.939999996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2D-44D0-9A25-49CEF9B12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31399"/>
        <c:axId val="2836799"/>
      </c:barChart>
      <c:catAx>
        <c:axId val="2831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6799"/>
        <c:crosses val="autoZero"/>
        <c:auto val="1"/>
        <c:lblAlgn val="ctr"/>
        <c:lblOffset val="100"/>
        <c:noMultiLvlLbl val="0"/>
      </c:catAx>
      <c:valAx>
        <c:axId val="283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[sales_databaset_project.xlsx]Sheet1!PivotTable4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sales 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7251840186643337"/>
          <c:y val="0.149956900142646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Sheet1!$F$12:$F$16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Sheet1!$G$12:$G$16</c:f>
              <c:numCache>
                <c:formatCode>General</c:formatCode>
                <c:ptCount val="4"/>
                <c:pt idx="0">
                  <c:v>54576880</c:v>
                </c:pt>
                <c:pt idx="1">
                  <c:v>45482060</c:v>
                </c:pt>
                <c:pt idx="2">
                  <c:v>52839017</c:v>
                </c:pt>
                <c:pt idx="3">
                  <c:v>51493895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8-4B9C-91FB-A96E55A52488}"/>
            </c:ext>
          </c:extLst>
        </c:ser>
        <c:ser>
          <c:idx val="1"/>
          <c:order val="1"/>
          <c:tx>
            <c:strRef>
              <c:f>Sheet1!$H$11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Sheet1!$F$12:$F$16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Sheet1!$H$12:$H$16</c:f>
              <c:numCache>
                <c:formatCode>General</c:formatCode>
                <c:ptCount val="4"/>
                <c:pt idx="0">
                  <c:v>47780992.679999992</c:v>
                </c:pt>
                <c:pt idx="1">
                  <c:v>39757698.040000021</c:v>
                </c:pt>
                <c:pt idx="2">
                  <c:v>46633510.410000004</c:v>
                </c:pt>
                <c:pt idx="3">
                  <c:v>45567615.579999991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8-4B9C-91FB-A96E55A52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8607"/>
        <c:axId val="3852207"/>
      </c:barChart>
      <c:catAx>
        <c:axId val="384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2207"/>
        <c:crosses val="autoZero"/>
        <c:auto val="1"/>
        <c:lblAlgn val="ctr"/>
        <c:lblOffset val="100"/>
        <c:noMultiLvlLbl val="0"/>
      </c:catAx>
      <c:valAx>
        <c:axId val="385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</xdr:row>
      <xdr:rowOff>9525</xdr:rowOff>
    </xdr:from>
    <xdr:to>
      <xdr:col>7</xdr:col>
      <xdr:colOff>314324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1122E-A0A6-4328-B090-453E2E607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590550</xdr:colOff>
      <xdr:row>17</xdr:row>
      <xdr:rowOff>161925</xdr:rowOff>
    </xdr:from>
    <xdr:to>
      <xdr:col>8</xdr:col>
      <xdr:colOff>514350</xdr:colOff>
      <xdr:row>30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D131D8-8729-4A27-B342-2361AD0AE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409574</xdr:colOff>
      <xdr:row>4</xdr:row>
      <xdr:rowOff>152400</xdr:rowOff>
    </xdr:from>
    <xdr:to>
      <xdr:col>16</xdr:col>
      <xdr:colOff>57149</xdr:colOff>
      <xdr:row>17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E3E6E7-D338-450A-A8C9-6B2396773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600075</xdr:colOff>
      <xdr:row>17</xdr:row>
      <xdr:rowOff>190499</xdr:rowOff>
    </xdr:from>
    <xdr:to>
      <xdr:col>16</xdr:col>
      <xdr:colOff>9525</xdr:colOff>
      <xdr:row>30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9BDBDA-200C-4DDF-9EFB-F0C951DD1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20</xdr:col>
      <xdr:colOff>19050</xdr:colOff>
      <xdr:row>2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29F3841-C211-D397-5F4F-5F233CF8EDD0}"/>
            </a:ext>
          </a:extLst>
        </xdr:cNvPr>
        <xdr:cNvSpPr/>
      </xdr:nvSpPr>
      <xdr:spPr>
        <a:xfrm>
          <a:off x="0" y="0"/>
          <a:ext cx="12211050" cy="3905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</a:rPr>
            <a:t>sales dashboard</a:t>
          </a:r>
        </a:p>
      </xdr:txBody>
    </xdr:sp>
    <xdr:clientData/>
  </xdr:twoCellAnchor>
  <xdr:twoCellAnchor>
    <xdr:from>
      <xdr:col>11</xdr:col>
      <xdr:colOff>333375</xdr:colOff>
      <xdr:row>2</xdr:row>
      <xdr:rowOff>95250</xdr:rowOff>
    </xdr:from>
    <xdr:to>
      <xdr:col>13</xdr:col>
      <xdr:colOff>504825</xdr:colOff>
      <xdr:row>4</xdr:row>
      <xdr:rowOff>180975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0D81590-F071-439D-901F-A323B7F2C3FB}"/>
            </a:ext>
          </a:extLst>
        </xdr:cNvPr>
        <xdr:cNvSpPr/>
      </xdr:nvSpPr>
      <xdr:spPr>
        <a:xfrm>
          <a:off x="7096125" y="476250"/>
          <a:ext cx="1390650" cy="46672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14</xdr:col>
      <xdr:colOff>66675</xdr:colOff>
      <xdr:row>2</xdr:row>
      <xdr:rowOff>57150</xdr:rowOff>
    </xdr:from>
    <xdr:to>
      <xdr:col>16</xdr:col>
      <xdr:colOff>238125</xdr:colOff>
      <xdr:row>4</xdr:row>
      <xdr:rowOff>142875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F9D46EC-1545-47C1-B270-9799E3D8AB63}"/>
            </a:ext>
          </a:extLst>
        </xdr:cNvPr>
        <xdr:cNvSpPr/>
      </xdr:nvSpPr>
      <xdr:spPr>
        <a:xfrm>
          <a:off x="8601075" y="438150"/>
          <a:ext cx="1390650" cy="46672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581025</xdr:colOff>
      <xdr:row>2</xdr:row>
      <xdr:rowOff>66675</xdr:rowOff>
    </xdr:from>
    <xdr:to>
      <xdr:col>19</xdr:col>
      <xdr:colOff>142875</xdr:colOff>
      <xdr:row>4</xdr:row>
      <xdr:rowOff>152400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8666E98-FD8D-4A24-A4C6-7BD57403D70D}"/>
            </a:ext>
          </a:extLst>
        </xdr:cNvPr>
        <xdr:cNvSpPr/>
      </xdr:nvSpPr>
      <xdr:spPr>
        <a:xfrm>
          <a:off x="10334625" y="447675"/>
          <a:ext cx="1390650" cy="46672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152400</xdr:colOff>
      <xdr:row>2</xdr:row>
      <xdr:rowOff>66675</xdr:rowOff>
    </xdr:from>
    <xdr:to>
      <xdr:col>5</xdr:col>
      <xdr:colOff>323850</xdr:colOff>
      <xdr:row>5</xdr:row>
      <xdr:rowOff>47625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DCCA9F9-88D0-437E-BF2D-E3768CF3003F}"/>
            </a:ext>
          </a:extLst>
        </xdr:cNvPr>
        <xdr:cNvSpPr/>
      </xdr:nvSpPr>
      <xdr:spPr>
        <a:xfrm>
          <a:off x="2038350" y="447675"/>
          <a:ext cx="1390650" cy="55245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💰 Total Sales</a:t>
          </a:r>
        </a:p>
        <a:p>
          <a:pPr algn="ctr"/>
          <a:r>
            <a:rPr lang="en-US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204391852</a:t>
          </a:r>
          <a:r>
            <a: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  <a:p>
          <a:pPr algn="ctr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HUL" refreshedDate="46193.605785185187" backgroundQuery="1" createdVersion="8" refreshedVersion="8" minRefreshableVersion="3" recordCount="0" supportSubquery="1" supportAdvancedDrill="1" xr:uid="{606E40FA-7781-4469-B161-2CDAC88F926E}">
  <cacheSource type="external" connectionId="3"/>
  <cacheFields count="3">
    <cacheField name="[Measures].[total sales]" caption="total sales" numFmtId="0" hierarchy="25" level="32767"/>
    <cacheField name="[Sales_Data].[Product Category].[Product Category]" caption="Product Category" numFmtId="0" hierarchy="14" level="1">
      <sharedItems count="4">
        <s v="Clothing"/>
        <s v="Electronics"/>
        <s v="Furniture"/>
        <s v="Grocery"/>
      </sharedItems>
    </cacheField>
    <cacheField name="[Measures].[total revenue]" caption="total revenue" numFmtId="0" hierarchy="26" level="32767"/>
  </cacheFields>
  <cacheHierarchies count="3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13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Product Category]" caption="Product Category" attribute="1" defaultMemberUniqueName="[Sales_Data].[Product Category].[All]" allUniqueName="[Sales_Data].[Product Category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Product Name]" caption="Product Name" attribute="1" defaultMemberUniqueName="[Sales_Data].[Product Name].[All]" allUniqueName="[Sales_Data].[Product Name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 Price]" caption="Unit Price" attribute="1" defaultMemberUniqueName="[Sales_Data].[Unit Price].[All]" allUniqueName="[Sales_Data].[Unit Price].[All]" dimensionUniqueName="[Sales_Data]" displayFolder="" count="0" memberValueDatatype="20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Payment Mode]" caption="Payment Mode" attribute="1" defaultMemberUniqueName="[Sales_Data].[Payment Mode].[All]" allUniqueName="[Sales_Data].[Payment Mode].[All]" dimensionUniqueName="[Sales_Data]" displayFolder="" count="0" memberValueDatatype="130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Sales Amount]" caption="Sales Amount" attribute="1" defaultMemberUniqueName="[Sales_Data].[Sales Amount].[All]" allUniqueName="[Sales_Data].[Sales Amount].[All]" dimensionUniqueName="[Sales_Data]" displayFolder="" count="0" memberValueDatatype="5" unbalanced="0"/>
    <cacheHierarchy uniqueName="[Sales_Data].[Discount Amount]" caption="Discount Amount" attribute="1" defaultMemberUniqueName="[Sales_Data].[Discount Amount].[All]" allUniqueName="[Sales_Data].[Discount Amount].[All]" dimensionUniqueName="[Sales_Data]" displayFolder="" count="0" memberValueDatatype="5" unbalanced="0"/>
    <cacheHierarchy uniqueName="[Sales_Data].[Net Revenue]" caption="Net Revenue" attribute="1" defaultMemberUniqueName="[Sales_Data].[Net Revenue].[All]" allUniqueName="[Sales_Data].[Net Revenue].[All]" dimensionUniqueName="[Sales_Data]" displayFolder="" count="0" memberValueDatatype="5" unbalanced="0"/>
    <cacheHierarchy uniqueName="[Measures].[total sales]" caption="total sales" measure="1" displayFolder="" measureGroup="Sales_Data" count="0" oneField="1">
      <fieldsUsage count="1">
        <fieldUsage x="0"/>
      </fieldsUsage>
    </cacheHierarchy>
    <cacheHierarchy uniqueName="[Measures].[total revenue]" caption="total revenue" measure="1" displayFolder="" measureGroup="Sales_Data" count="0" oneField="1">
      <fieldsUsage count="1">
        <fieldUsage x="2"/>
      </fieldsUsage>
    </cacheHierarchy>
    <cacheHierarchy uniqueName="[Measures].[total discount]" caption="total discount" measure="1" displayFolder="" measureGroup="Sales_Data" count="0"/>
    <cacheHierarchy uniqueName="[Measures].[total order]" caption="total order" measure="1" displayFolder="" measureGroup="Sales_Data" count="0"/>
    <cacheHierarchy uniqueName="[Measures].[average sales]" caption="average sales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ntity]" caption="Sum of Quantity" measure="1" displayFolder="" measureGroup="Sale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HUL" refreshedDate="46193.613212268516" backgroundQuery="1" createdVersion="8" refreshedVersion="8" minRefreshableVersion="3" recordCount="0" supportSubquery="1" supportAdvancedDrill="1" xr:uid="{37B8854D-6731-45BD-BF97-C3A84B482A63}">
  <cacheSource type="external" connectionId="3"/>
  <cacheFields count="2">
    <cacheField name="[Measures].[total sales]" caption="total sales" numFmtId="0" hierarchy="25" level="32767"/>
    <cacheField name="[Sales_Data].[Region].[Region]" caption="Region" numFmtId="0" hierarchy="11" level="1">
      <sharedItems count="4">
        <s v="East"/>
        <s v="North"/>
        <s v="South"/>
        <s v="West"/>
      </sharedItems>
    </cacheField>
  </cacheFields>
  <cacheHierarchies count="3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13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Product Category]" caption="Product Category" attribute="1" defaultMemberUniqueName="[Sales_Data].[Product Category].[All]" allUniqueName="[Sales_Data].[Product Category].[All]" dimensionUniqueName="[Sales_Data]" displayFolder="" count="0" memberValueDatatype="130" unbalanced="0"/>
    <cacheHierarchy uniqueName="[Sales_Data].[Product Name]" caption="Product Name" attribute="1" defaultMemberUniqueName="[Sales_Data].[Product Name].[All]" allUniqueName="[Sales_Data].[Product Name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 Price]" caption="Unit Price" attribute="1" defaultMemberUniqueName="[Sales_Data].[Unit Price].[All]" allUniqueName="[Sales_Data].[Unit Price].[All]" dimensionUniqueName="[Sales_Data]" displayFolder="" count="0" memberValueDatatype="20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Payment Mode]" caption="Payment Mode" attribute="1" defaultMemberUniqueName="[Sales_Data].[Payment Mode].[All]" allUniqueName="[Sales_Data].[Payment Mode].[All]" dimensionUniqueName="[Sales_Data]" displayFolder="" count="0" memberValueDatatype="130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Sales Amount]" caption="Sales Amount" attribute="1" defaultMemberUniqueName="[Sales_Data].[Sales Amount].[All]" allUniqueName="[Sales_Data].[Sales Amount].[All]" dimensionUniqueName="[Sales_Data]" displayFolder="" count="0" memberValueDatatype="5" unbalanced="0"/>
    <cacheHierarchy uniqueName="[Sales_Data].[Discount Amount]" caption="Discount Amount" attribute="1" defaultMemberUniqueName="[Sales_Data].[Discount Amount].[All]" allUniqueName="[Sales_Data].[Discount Amount].[All]" dimensionUniqueName="[Sales_Data]" displayFolder="" count="0" memberValueDatatype="5" unbalanced="0"/>
    <cacheHierarchy uniqueName="[Sales_Data].[Net Revenue]" caption="Net Revenue" attribute="1" defaultMemberUniqueName="[Sales_Data].[Net Revenue].[All]" allUniqueName="[Sales_Data].[Net Revenue].[All]" dimensionUniqueName="[Sales_Data]" displayFolder="" count="0" memberValueDatatype="5" unbalanced="0"/>
    <cacheHierarchy uniqueName="[Measures].[total sales]" caption="total sales" measure="1" displayFolder="" measureGroup="Sales_Data" count="0" oneField="1">
      <fieldsUsage count="1">
        <fieldUsage x="0"/>
      </fieldsUsage>
    </cacheHierarchy>
    <cacheHierarchy uniqueName="[Measures].[total revenue]" caption="total revenue" measure="1" displayFolder="" measureGroup="Sales_Data" count="0"/>
    <cacheHierarchy uniqueName="[Measures].[total discount]" caption="total discount" measure="1" displayFolder="" measureGroup="Sales_Data" count="0"/>
    <cacheHierarchy uniqueName="[Measures].[total order]" caption="total order" measure="1" displayFolder="" measureGroup="Sales_Data" count="0"/>
    <cacheHierarchy uniqueName="[Measures].[average sales]" caption="average sales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ntity]" caption="Sum of Quantity" measure="1" displayFolder="" measureGroup="Sale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HUL" refreshedDate="46193.61987800926" backgroundQuery="1" createdVersion="8" refreshedVersion="8" minRefreshableVersion="3" recordCount="0" supportSubquery="1" supportAdvancedDrill="1" xr:uid="{1985AD3C-8CF3-4AC2-9738-7B5ADB469692}">
  <cacheSource type="external" connectionId="3"/>
  <cacheFields count="3">
    <cacheField name="[Sales_Data].[Product Name].[Product Name]" caption="Product Name" numFmtId="0" hierarchy="15" level="1">
      <sharedItems count="16">
        <s v="Bed"/>
        <s v="Chair"/>
        <s v="Coffee"/>
        <s v="Headphones"/>
        <s v="Jacket"/>
        <s v="Jeans"/>
        <s v="Laptop"/>
        <s v="Mobile"/>
        <s v="Oil"/>
        <s v="Rice"/>
        <s v="Shirt"/>
        <s v="Shoes"/>
        <s v="Snacks"/>
        <s v="Sofa"/>
        <s v="Table"/>
        <s v="Tablet"/>
      </sharedItems>
    </cacheField>
    <cacheField name="[Measures].[total sales]" caption="total sales" numFmtId="0" hierarchy="25" level="32767"/>
    <cacheField name="[Measures].[total revenue]" caption="total revenue" numFmtId="0" hierarchy="26" level="32767"/>
  </cacheFields>
  <cacheHierarchies count="3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13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Product Category]" caption="Product Category" attribute="1" defaultMemberUniqueName="[Sales_Data].[Product Category].[All]" allUniqueName="[Sales_Data].[Product Category].[All]" dimensionUniqueName="[Sales_Data]" displayFolder="" count="0" memberValueDatatype="130" unbalanced="0"/>
    <cacheHierarchy uniqueName="[Sales_Data].[Product Name]" caption="Product Name" attribute="1" defaultMemberUniqueName="[Sales_Data].[Product Name].[All]" allUniqueName="[Sales_Data].[Product Name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 Price]" caption="Unit Price" attribute="1" defaultMemberUniqueName="[Sales_Data].[Unit Price].[All]" allUniqueName="[Sales_Data].[Unit Price].[All]" dimensionUniqueName="[Sales_Data]" displayFolder="" count="0" memberValueDatatype="20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Payment Mode]" caption="Payment Mode" attribute="1" defaultMemberUniqueName="[Sales_Data].[Payment Mode].[All]" allUniqueName="[Sales_Data].[Payment Mode].[All]" dimensionUniqueName="[Sales_Data]" displayFolder="" count="0" memberValueDatatype="130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Sales Amount]" caption="Sales Amount" attribute="1" defaultMemberUniqueName="[Sales_Data].[Sales Amount].[All]" allUniqueName="[Sales_Data].[Sales Amount].[All]" dimensionUniqueName="[Sales_Data]" displayFolder="" count="0" memberValueDatatype="5" unbalanced="0"/>
    <cacheHierarchy uniqueName="[Sales_Data].[Discount Amount]" caption="Discount Amount" attribute="1" defaultMemberUniqueName="[Sales_Data].[Discount Amount].[All]" allUniqueName="[Sales_Data].[Discount Amount].[All]" dimensionUniqueName="[Sales_Data]" displayFolder="" count="0" memberValueDatatype="5" unbalanced="0"/>
    <cacheHierarchy uniqueName="[Sales_Data].[Net Revenue]" caption="Net Revenue" attribute="1" defaultMemberUniqueName="[Sales_Data].[Net Revenue].[All]" allUniqueName="[Sales_Data].[Net Revenue].[All]" dimensionUniqueName="[Sales_Data]" displayFolder="" count="0" memberValueDatatype="5" unbalanced="0"/>
    <cacheHierarchy uniqueName="[Measures].[total sales]" caption="total sales" measure="1" displayFolder="" measureGroup="Sales_Data" count="0" oneField="1">
      <fieldsUsage count="1">
        <fieldUsage x="1"/>
      </fieldsUsage>
    </cacheHierarchy>
    <cacheHierarchy uniqueName="[Measures].[total revenue]" caption="total revenue" measure="1" displayFolder="" measureGroup="Sales_Data" count="0" oneField="1">
      <fieldsUsage count="1">
        <fieldUsage x="2"/>
      </fieldsUsage>
    </cacheHierarchy>
    <cacheHierarchy uniqueName="[Measures].[total discount]" caption="total discount" measure="1" displayFolder="" measureGroup="Sales_Data" count="0"/>
    <cacheHierarchy uniqueName="[Measures].[total order]" caption="total order" measure="1" displayFolder="" measureGroup="Sales_Data" count="0"/>
    <cacheHierarchy uniqueName="[Measures].[average sales]" caption="average sales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ntity]" caption="Sum of Quantity" measure="1" displayFolder="" measureGroup="Sale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HUL" refreshedDate="46193.665454861111" backgroundQuery="1" createdVersion="8" refreshedVersion="8" minRefreshableVersion="3" recordCount="0" supportSubquery="1" supportAdvancedDrill="1" xr:uid="{7A072CDA-1E49-4121-85C8-ADE84E9D4751}">
  <cacheSource type="external" connectionId="3"/>
  <cacheFields count="4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total sales]" caption="total sales" numFmtId="0" hierarchy="25" level="32767"/>
    <cacheField name="[Measures].[total revenue]" caption="total revenue" numFmtId="0" hierarchy="26" level="32767"/>
    <cacheField name="[Measures].[total discount]" caption="total discount" numFmtId="0" hierarchy="27" level="32767"/>
  </cacheFields>
  <cacheHierarchies count="3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13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Product Category]" caption="Product Category" attribute="1" defaultMemberUniqueName="[Sales_Data].[Product Category].[All]" allUniqueName="[Sales_Data].[Product Category].[All]" dimensionUniqueName="[Sales_Data]" displayFolder="" count="0" memberValueDatatype="130" unbalanced="0"/>
    <cacheHierarchy uniqueName="[Sales_Data].[Product Name]" caption="Product Name" attribute="1" defaultMemberUniqueName="[Sales_Data].[Product Name].[All]" allUniqueName="[Sales_Data].[Product Name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 Price]" caption="Unit Price" attribute="1" defaultMemberUniqueName="[Sales_Data].[Unit Price].[All]" allUniqueName="[Sales_Data].[Unit Price].[All]" dimensionUniqueName="[Sales_Data]" displayFolder="" count="0" memberValueDatatype="20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Payment Mode]" caption="Payment Mode" attribute="1" defaultMemberUniqueName="[Sales_Data].[Payment Mode].[All]" allUniqueName="[Sales_Data].[Payment Mode].[All]" dimensionUniqueName="[Sales_Data]" displayFolder="" count="0" memberValueDatatype="130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Sales Amount]" caption="Sales Amount" attribute="1" defaultMemberUniqueName="[Sales_Data].[Sales Amount].[All]" allUniqueName="[Sales_Data].[Sales Amount].[All]" dimensionUniqueName="[Sales_Data]" displayFolder="" count="0" memberValueDatatype="5" unbalanced="0"/>
    <cacheHierarchy uniqueName="[Sales_Data].[Discount Amount]" caption="Discount Amount" attribute="1" defaultMemberUniqueName="[Sales_Data].[Discount Amount].[All]" allUniqueName="[Sales_Data].[Discount Amount].[All]" dimensionUniqueName="[Sales_Data]" displayFolder="" count="0" memberValueDatatype="5" unbalanced="0"/>
    <cacheHierarchy uniqueName="[Sales_Data].[Net Revenue]" caption="Net Revenue" attribute="1" defaultMemberUniqueName="[Sales_Data].[Net Revenue].[All]" allUniqueName="[Sales_Data].[Net Revenue].[All]" dimensionUniqueName="[Sales_Data]" displayFolder="" count="0" memberValueDatatype="5" unbalanced="0"/>
    <cacheHierarchy uniqueName="[Measures].[total sales]" caption="total sales" measure="1" displayFolder="" measureGroup="Sales_Data" count="0" oneField="1">
      <fieldsUsage count="1">
        <fieldUsage x="1"/>
      </fieldsUsage>
    </cacheHierarchy>
    <cacheHierarchy uniqueName="[Measures].[total revenue]" caption="total revenue" measure="1" displayFolder="" measureGroup="Sales_Data" count="0" oneField="1">
      <fieldsUsage count="1">
        <fieldUsage x="2"/>
      </fieldsUsage>
    </cacheHierarchy>
    <cacheHierarchy uniqueName="[Measures].[total discount]" caption="total discount" measure="1" displayFolder="" measureGroup="Sales_Data" count="0" oneField="1">
      <fieldsUsage count="1">
        <fieldUsage x="3"/>
      </fieldsUsage>
    </cacheHierarchy>
    <cacheHierarchy uniqueName="[Measures].[total order]" caption="total order" measure="1" displayFolder="" measureGroup="Sales_Data" count="0"/>
    <cacheHierarchy uniqueName="[Measures].[average sales]" caption="average sales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Quantity]" caption="Sum of Quantity" measure="1" displayFolder="" measureGroup="Sales_Data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CB8F5-0936-4254-A765-68B166034247}" name="PivotTable4" cacheId="77" applyNumberFormats="0" applyBorderFormats="0" applyFontFormats="0" applyPatternFormats="0" applyAlignmentFormats="0" applyWidthHeightFormats="1" dataCaption="Values" tag="bc272892-de1e-411f-94fb-99d60bc0454c" updatedVersion="8" minRefreshableVersion="3" useAutoFormatting="1" itemPrintTitles="1" createdVersion="8" indent="0" outline="1" outlineData="1" multipleFieldFilters="0" chartFormat="21" rowHeaderCaption="category">
  <location ref="F11:H1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/>
  </dataFields>
  <chartFormats count="6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FA2A1-FB26-4DFA-B32A-52343421DE24}" name="PivotTable3" cacheId="104" dataPosition="0" applyNumberFormats="0" applyBorderFormats="0" applyFontFormats="0" applyPatternFormats="0" applyAlignmentFormats="0" applyWidthHeightFormats="1" dataCaption="Values" tag="602f2254-4668-42bc-8f4c-41794f3d1f27" updatedVersion="8" minRefreshableVersion="3" useAutoFormatting="1" subtotalHiddenItems="1" itemPrintTitles="1" createdVersion="8" indent="0" outline="1" outlineData="1" multipleFieldFilters="0" chartFormat="18" rowHeaderCaption="product ">
  <location ref="J4:L21" firstHeaderRow="0" firstDataRow="1" firstDataCol="1"/>
  <pivotFields count="3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2"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FC339-93F6-4B6F-A8C6-EB3C080584E6}" name="PivotTable2" cacheId="89" applyNumberFormats="0" applyBorderFormats="0" applyFontFormats="0" applyPatternFormats="0" applyAlignmentFormats="0" applyWidthHeightFormats="1" dataCaption="Values" tag="169b8622-4b8a-41e5-bbcd-125618cbc9f9" updatedVersion="8" minRefreshableVersion="3" useAutoFormatting="1" itemPrintTitles="1" createdVersion="8" indent="0" outline="1" outlineData="1" multipleFieldFilters="0" chartFormat="4" rowHeaderCaption="Regions">
  <location ref="F4:G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pivotHierarchies count="3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673BD-D976-415B-AD31-053F26CF9FAB}" name="PivotTable1" cacheId="113" applyNumberFormats="0" applyBorderFormats="0" applyFontFormats="0" applyPatternFormats="0" applyAlignmentFormats="0" applyWidthHeightFormats="1" dataCaption="Values" tag="60fb26ec-f4d3-4e0b-8871-eaf18dbdba81" updatedVersion="8" minRefreshableVersion="3" useAutoFormatting="1" itemPrintTitles="1" createdVersion="8" indent="0" outline="1" outlineData="1" multipleFieldFilters="0" chartFormat="10" rowHeaderCaption="months">
  <location ref="A4:D17" firstHeaderRow="0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2E01-3B49-4FFF-8750-8ED29CD81B25}">
  <dimension ref="A4:O35"/>
  <sheetViews>
    <sheetView workbookViewId="0">
      <selection activeCell="O7" sqref="O7"/>
    </sheetView>
  </sheetViews>
  <sheetFormatPr defaultRowHeight="15" x14ac:dyDescent="0.25"/>
  <cols>
    <col min="1" max="1" width="11.28515625" bestFit="1" customWidth="1"/>
    <col min="2" max="2" width="10" bestFit="1" customWidth="1"/>
    <col min="3" max="3" width="13.140625" bestFit="1" customWidth="1"/>
    <col min="4" max="5" width="13.28515625" bestFit="1" customWidth="1"/>
    <col min="6" max="6" width="16.28515625" bestFit="1" customWidth="1"/>
    <col min="7" max="7" width="11.28515625" bestFit="1" customWidth="1"/>
    <col min="8" max="8" width="13.140625" bestFit="1" customWidth="1"/>
    <col min="9" max="9" width="13.28515625" bestFit="1" customWidth="1"/>
    <col min="10" max="10" width="11.28515625" bestFit="1" customWidth="1"/>
    <col min="11" max="11" width="10" bestFit="1" customWidth="1"/>
    <col min="12" max="12" width="13.140625" bestFit="1" customWidth="1"/>
    <col min="13" max="13" width="12.140625" bestFit="1" customWidth="1"/>
    <col min="14" max="14" width="10" bestFit="1" customWidth="1"/>
    <col min="15" max="15" width="13.140625" bestFit="1" customWidth="1"/>
    <col min="16" max="16" width="12" bestFit="1" customWidth="1"/>
    <col min="17" max="17" width="12.140625" bestFit="1" customWidth="1"/>
    <col min="18" max="20" width="12" bestFit="1" customWidth="1"/>
    <col min="21" max="21" width="11" bestFit="1" customWidth="1"/>
    <col min="22" max="22" width="12" bestFit="1" customWidth="1"/>
    <col min="23" max="23" width="9" bestFit="1" customWidth="1"/>
    <col min="24" max="24" width="10" bestFit="1" customWidth="1"/>
    <col min="25" max="30" width="12" bestFit="1" customWidth="1"/>
  </cols>
  <sheetData>
    <row r="4" spans="1:15" x14ac:dyDescent="0.25">
      <c r="A4" s="1" t="s">
        <v>16</v>
      </c>
      <c r="B4" t="s">
        <v>13</v>
      </c>
      <c r="C4" t="s">
        <v>14</v>
      </c>
      <c r="D4" t="s">
        <v>15</v>
      </c>
      <c r="F4" s="1" t="s">
        <v>21</v>
      </c>
      <c r="G4" t="s">
        <v>13</v>
      </c>
      <c r="J4" s="1" t="s">
        <v>38</v>
      </c>
      <c r="K4" t="s">
        <v>13</v>
      </c>
      <c r="L4" t="s">
        <v>14</v>
      </c>
    </row>
    <row r="5" spans="1:15" x14ac:dyDescent="0.25">
      <c r="A5" s="2" t="s">
        <v>0</v>
      </c>
      <c r="B5" s="3">
        <v>14281536</v>
      </c>
      <c r="C5" s="3">
        <v>12742191.849999996</v>
      </c>
      <c r="D5" s="3">
        <v>1539344.1499999997</v>
      </c>
      <c r="F5" s="2" t="s">
        <v>17</v>
      </c>
      <c r="G5" s="3">
        <v>48655773</v>
      </c>
      <c r="J5" s="2" t="s">
        <v>22</v>
      </c>
      <c r="K5" s="3">
        <v>13257444</v>
      </c>
      <c r="L5" s="3">
        <v>11687952.220000001</v>
      </c>
    </row>
    <row r="6" spans="1:15" x14ac:dyDescent="0.25">
      <c r="A6" s="2" t="s">
        <v>1</v>
      </c>
      <c r="B6" s="3">
        <v>12998134</v>
      </c>
      <c r="C6" s="3">
        <v>11426241.030000001</v>
      </c>
      <c r="D6" s="3">
        <v>1571892.97</v>
      </c>
      <c r="F6" s="2" t="s">
        <v>18</v>
      </c>
      <c r="G6" s="3">
        <v>45610487</v>
      </c>
      <c r="J6" s="2" t="s">
        <v>23</v>
      </c>
      <c r="K6" s="3">
        <v>13601131</v>
      </c>
      <c r="L6" s="3">
        <v>12171614.26</v>
      </c>
    </row>
    <row r="7" spans="1:15" x14ac:dyDescent="0.25">
      <c r="A7" s="2" t="s">
        <v>2</v>
      </c>
      <c r="B7" s="3">
        <v>17028854</v>
      </c>
      <c r="C7" s="3">
        <v>15176841.500000002</v>
      </c>
      <c r="D7" s="3">
        <v>1852012.4999999993</v>
      </c>
      <c r="F7" s="2" t="s">
        <v>19</v>
      </c>
      <c r="G7" s="3">
        <v>56542065</v>
      </c>
      <c r="J7" s="2" t="s">
        <v>24</v>
      </c>
      <c r="K7" s="3">
        <v>14503123</v>
      </c>
      <c r="L7" s="3">
        <v>13214642.41</v>
      </c>
      <c r="O7" s="5">
        <v>204391852</v>
      </c>
    </row>
    <row r="8" spans="1:15" x14ac:dyDescent="0.25">
      <c r="A8" s="2" t="s">
        <v>3</v>
      </c>
      <c r="B8" s="3">
        <v>15575546</v>
      </c>
      <c r="C8" s="3">
        <v>13497546.580000008</v>
      </c>
      <c r="D8" s="3">
        <v>2077999.4200000004</v>
      </c>
      <c r="F8" s="2" t="s">
        <v>20</v>
      </c>
      <c r="G8" s="3">
        <v>53583527</v>
      </c>
      <c r="J8" s="2" t="s">
        <v>25</v>
      </c>
      <c r="K8" s="3">
        <v>9772360</v>
      </c>
      <c r="L8" s="3">
        <v>8499050.1999999974</v>
      </c>
    </row>
    <row r="9" spans="1:15" x14ac:dyDescent="0.25">
      <c r="A9" s="2" t="s">
        <v>4</v>
      </c>
      <c r="B9" s="3">
        <v>19373466</v>
      </c>
      <c r="C9" s="3">
        <v>16993393.479999997</v>
      </c>
      <c r="D9" s="3">
        <v>2380072.52</v>
      </c>
      <c r="F9" s="2" t="s">
        <v>12</v>
      </c>
      <c r="G9" s="3">
        <v>204391852</v>
      </c>
      <c r="J9" s="2" t="s">
        <v>26</v>
      </c>
      <c r="K9" s="3">
        <v>14980947</v>
      </c>
      <c r="L9" s="3">
        <v>12993976.229999997</v>
      </c>
    </row>
    <row r="10" spans="1:15" x14ac:dyDescent="0.25">
      <c r="A10" s="2" t="s">
        <v>5</v>
      </c>
      <c r="B10" s="3">
        <v>17070043</v>
      </c>
      <c r="C10" s="3">
        <v>14858700.580000004</v>
      </c>
      <c r="D10" s="3">
        <v>2211342.42</v>
      </c>
      <c r="J10" s="2" t="s">
        <v>27</v>
      </c>
      <c r="K10" s="3">
        <v>17047674</v>
      </c>
      <c r="L10" s="3">
        <v>14969243.269999996</v>
      </c>
    </row>
    <row r="11" spans="1:15" x14ac:dyDescent="0.25">
      <c r="A11" s="2" t="s">
        <v>6</v>
      </c>
      <c r="B11" s="3">
        <v>17480400</v>
      </c>
      <c r="C11" s="3">
        <v>15221264.810000002</v>
      </c>
      <c r="D11" s="3">
        <v>2259135.1899999995</v>
      </c>
      <c r="F11" s="1" t="s">
        <v>43</v>
      </c>
      <c r="G11" t="s">
        <v>13</v>
      </c>
      <c r="H11" t="s">
        <v>14</v>
      </c>
      <c r="J11" s="2" t="s">
        <v>28</v>
      </c>
      <c r="K11" s="3">
        <v>13650607</v>
      </c>
      <c r="L11" s="3">
        <v>11784968.519999994</v>
      </c>
    </row>
    <row r="12" spans="1:15" x14ac:dyDescent="0.25">
      <c r="A12" s="2" t="s">
        <v>7</v>
      </c>
      <c r="B12" s="3">
        <v>18340777</v>
      </c>
      <c r="C12" s="3">
        <v>15972304.859999998</v>
      </c>
      <c r="D12" s="3">
        <v>2368472.1400000006</v>
      </c>
      <c r="F12" s="2" t="s">
        <v>42</v>
      </c>
      <c r="G12" s="3">
        <v>54576880</v>
      </c>
      <c r="H12" s="3">
        <v>47780992.679999992</v>
      </c>
      <c r="J12" s="2" t="s">
        <v>29</v>
      </c>
      <c r="K12" s="3">
        <v>10519933</v>
      </c>
      <c r="L12" s="3">
        <v>9204463.3800000008</v>
      </c>
    </row>
    <row r="13" spans="1:15" x14ac:dyDescent="0.25">
      <c r="A13" s="2" t="s">
        <v>8</v>
      </c>
      <c r="B13" s="3">
        <v>13951489</v>
      </c>
      <c r="C13" s="3">
        <v>12165741.049999999</v>
      </c>
      <c r="D13" s="3">
        <v>1785747.95</v>
      </c>
      <c r="F13" s="2" t="s">
        <v>41</v>
      </c>
      <c r="G13" s="3">
        <v>45482060</v>
      </c>
      <c r="H13" s="3">
        <v>39757698.040000021</v>
      </c>
      <c r="J13" s="2" t="s">
        <v>30</v>
      </c>
      <c r="K13" s="3">
        <v>11608083</v>
      </c>
      <c r="L13" s="3">
        <v>10115316.550000001</v>
      </c>
    </row>
    <row r="14" spans="1:15" x14ac:dyDescent="0.25">
      <c r="A14" s="2" t="s">
        <v>9</v>
      </c>
      <c r="B14" s="3">
        <v>18431263</v>
      </c>
      <c r="C14" s="3">
        <v>16003862.869999997</v>
      </c>
      <c r="D14" s="3">
        <v>2427400.1300000004</v>
      </c>
      <c r="F14" s="2" t="s">
        <v>39</v>
      </c>
      <c r="G14" s="3">
        <v>52839017</v>
      </c>
      <c r="H14" s="3">
        <v>46633510.410000004</v>
      </c>
      <c r="J14" s="2" t="s">
        <v>31</v>
      </c>
      <c r="K14" s="3">
        <v>13359044</v>
      </c>
      <c r="L14" s="3">
        <v>11630236.000000004</v>
      </c>
    </row>
    <row r="15" spans="1:15" x14ac:dyDescent="0.25">
      <c r="A15" s="2" t="s">
        <v>10</v>
      </c>
      <c r="B15" s="3">
        <v>20048370</v>
      </c>
      <c r="C15" s="3">
        <v>17884151.939999998</v>
      </c>
      <c r="D15" s="3">
        <v>2164218.0599999996</v>
      </c>
      <c r="F15" s="2" t="s">
        <v>40</v>
      </c>
      <c r="G15" s="3">
        <v>51493895</v>
      </c>
      <c r="H15" s="3">
        <v>45567615.579999991</v>
      </c>
      <c r="J15" s="2" t="s">
        <v>32</v>
      </c>
      <c r="K15" s="3">
        <v>8553177</v>
      </c>
      <c r="L15" s="3">
        <v>7560451.2000000011</v>
      </c>
    </row>
    <row r="16" spans="1:15" x14ac:dyDescent="0.25">
      <c r="A16" s="2" t="s">
        <v>11</v>
      </c>
      <c r="B16" s="3">
        <v>19811974</v>
      </c>
      <c r="C16" s="3">
        <v>17797576.16</v>
      </c>
      <c r="D16" s="3">
        <v>2014397.840000001</v>
      </c>
      <c r="F16" s="2" t="s">
        <v>12</v>
      </c>
      <c r="G16" s="3">
        <v>204391852</v>
      </c>
      <c r="H16" s="3">
        <v>179739816.70999998</v>
      </c>
      <c r="J16" s="2" t="s">
        <v>33</v>
      </c>
      <c r="K16" s="3">
        <v>13995082</v>
      </c>
      <c r="L16" s="3">
        <v>12257321.980000002</v>
      </c>
    </row>
    <row r="17" spans="1:12" x14ac:dyDescent="0.25">
      <c r="A17" s="2" t="s">
        <v>12</v>
      </c>
      <c r="B17" s="3">
        <v>204391852</v>
      </c>
      <c r="C17" s="3">
        <v>179739816.70999998</v>
      </c>
      <c r="D17" s="3">
        <v>24652035.289999973</v>
      </c>
      <c r="J17" s="2" t="s">
        <v>34</v>
      </c>
      <c r="K17" s="3">
        <v>12023645</v>
      </c>
      <c r="L17" s="3">
        <v>10607420.620000001</v>
      </c>
    </row>
    <row r="18" spans="1:12" x14ac:dyDescent="0.25">
      <c r="J18" s="2" t="s">
        <v>35</v>
      </c>
      <c r="K18" s="3">
        <v>13128169</v>
      </c>
      <c r="L18" s="3">
        <v>11475530.309999997</v>
      </c>
    </row>
    <row r="19" spans="1:12" x14ac:dyDescent="0.25">
      <c r="J19" s="2" t="s">
        <v>36</v>
      </c>
      <c r="K19" s="3">
        <v>12852273</v>
      </c>
      <c r="L19" s="3">
        <v>11298413.619999997</v>
      </c>
    </row>
    <row r="20" spans="1:12" x14ac:dyDescent="0.25">
      <c r="J20" s="2" t="s">
        <v>37</v>
      </c>
      <c r="K20" s="3">
        <v>11539160</v>
      </c>
      <c r="L20" s="3">
        <v>10269215.939999996</v>
      </c>
    </row>
    <row r="21" spans="1:12" x14ac:dyDescent="0.25">
      <c r="J21" s="2" t="s">
        <v>12</v>
      </c>
      <c r="K21" s="3">
        <v>204391852</v>
      </c>
      <c r="L21" s="3">
        <v>179739816.70999998</v>
      </c>
    </row>
    <row r="35" spans="4:4" x14ac:dyDescent="0.25">
      <c r="D3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766D-3F42-42F6-B379-9F9B8BF1D6FF}">
  <dimension ref="C4"/>
  <sheetViews>
    <sheetView tabSelected="1" workbookViewId="0">
      <selection activeCell="H5" sqref="H5"/>
    </sheetView>
  </sheetViews>
  <sheetFormatPr defaultRowHeight="15" x14ac:dyDescent="0.25"/>
  <cols>
    <col min="3" max="3" width="10" bestFit="1" customWidth="1"/>
  </cols>
  <sheetData>
    <row r="4" spans="3:3" x14ac:dyDescent="0.25">
      <c r="C4">
        <v>204391852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8C60B331-64D2-492D-8340-0A0F7EF352CD}">
  <ds:schemaRefs/>
</ds:datastoreItem>
</file>

<file path=customXml/itemProps2.xml><?xml version="1.0" encoding="utf-8"?>
<ds:datastoreItem xmlns:ds="http://schemas.openxmlformats.org/officeDocument/2006/customXml" ds:itemID="{741ACFFE-FF1F-4695-81E6-2F4BE901F0A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7F600CD-CE66-47F8-9DAF-493844A89386}">
  <ds:schemaRefs/>
</ds:datastoreItem>
</file>

<file path=customXml/itemProps4.xml><?xml version="1.0" encoding="utf-8"?>
<ds:datastoreItem xmlns:ds="http://schemas.openxmlformats.org/officeDocument/2006/customXml" ds:itemID="{9F6574B3-4ED8-4E20-90BF-8D40EA4AACD8}">
  <ds:schemaRefs/>
</ds:datastoreItem>
</file>

<file path=customXml/itemProps5.xml><?xml version="1.0" encoding="utf-8"?>
<ds:datastoreItem xmlns:ds="http://schemas.openxmlformats.org/officeDocument/2006/customXml" ds:itemID="{8600D40E-7D30-49D3-97CF-201593F79F09}">
  <ds:schemaRefs/>
</ds:datastoreItem>
</file>

<file path=customXml/itemProps6.xml><?xml version="1.0" encoding="utf-8"?>
<ds:datastoreItem xmlns:ds="http://schemas.openxmlformats.org/officeDocument/2006/customXml" ds:itemID="{B7CF89AE-F3B1-4C1C-A10E-CB55CD5F6071}">
  <ds:schemaRefs/>
</ds:datastoreItem>
</file>

<file path=customXml/itemProps7.xml><?xml version="1.0" encoding="utf-8"?>
<ds:datastoreItem xmlns:ds="http://schemas.openxmlformats.org/officeDocument/2006/customXml" ds:itemID="{0F74E05E-8864-4C1B-8729-8C1E23F45D59}">
  <ds:schemaRefs/>
</ds:datastoreItem>
</file>

<file path=customXml/itemProps8.xml><?xml version="1.0" encoding="utf-8"?>
<ds:datastoreItem xmlns:ds="http://schemas.openxmlformats.org/officeDocument/2006/customXml" ds:itemID="{278B9839-9617-4CAB-96A1-85DD85160EA4}">
  <ds:schemaRefs/>
</ds:datastoreItem>
</file>

<file path=customXml/itemProps9.xml><?xml version="1.0" encoding="utf-8"?>
<ds:datastoreItem xmlns:ds="http://schemas.openxmlformats.org/officeDocument/2006/customXml" ds:itemID="{4C7B4206-DBB0-4E83-864B-8CB4E4E31460}">
  <ds:schemaRefs/>
</ds:datastoreItem>
</file>

<file path=customXml/itemProps10.xml><?xml version="1.0" encoding="utf-8"?>
<ds:datastoreItem xmlns:ds="http://schemas.openxmlformats.org/officeDocument/2006/customXml" ds:itemID="{184D8470-05A0-4983-AB56-86F159795545}">
  <ds:schemaRefs/>
</ds:datastoreItem>
</file>

<file path=customXml/itemProps11.xml><?xml version="1.0" encoding="utf-8"?>
<ds:datastoreItem xmlns:ds="http://schemas.openxmlformats.org/officeDocument/2006/customXml" ds:itemID="{889C130B-217D-4575-B97E-9639E7C17982}">
  <ds:schemaRefs/>
</ds:datastoreItem>
</file>

<file path=customXml/itemProps12.xml><?xml version="1.0" encoding="utf-8"?>
<ds:datastoreItem xmlns:ds="http://schemas.openxmlformats.org/officeDocument/2006/customXml" ds:itemID="{E74570FF-82A3-493D-A54E-AF763A0BC047}">
  <ds:schemaRefs/>
</ds:datastoreItem>
</file>

<file path=customXml/itemProps13.xml><?xml version="1.0" encoding="utf-8"?>
<ds:datastoreItem xmlns:ds="http://schemas.openxmlformats.org/officeDocument/2006/customXml" ds:itemID="{17446A6E-90D4-4D3F-9F73-D46AF94AD547}">
  <ds:schemaRefs/>
</ds:datastoreItem>
</file>

<file path=customXml/itemProps14.xml><?xml version="1.0" encoding="utf-8"?>
<ds:datastoreItem xmlns:ds="http://schemas.openxmlformats.org/officeDocument/2006/customXml" ds:itemID="{BDC49E1A-FD7A-40CD-A89B-C35BC1776E59}">
  <ds:schemaRefs/>
</ds:datastoreItem>
</file>

<file path=customXml/itemProps15.xml><?xml version="1.0" encoding="utf-8"?>
<ds:datastoreItem xmlns:ds="http://schemas.openxmlformats.org/officeDocument/2006/customXml" ds:itemID="{64E3C5FE-45E3-4981-8433-66E707CD55D9}">
  <ds:schemaRefs/>
</ds:datastoreItem>
</file>

<file path=customXml/itemProps16.xml><?xml version="1.0" encoding="utf-8"?>
<ds:datastoreItem xmlns:ds="http://schemas.openxmlformats.org/officeDocument/2006/customXml" ds:itemID="{CBDEDE44-0287-46C9-B42D-DFAF1F3F2135}">
  <ds:schemaRefs/>
</ds:datastoreItem>
</file>

<file path=customXml/itemProps17.xml><?xml version="1.0" encoding="utf-8"?>
<ds:datastoreItem xmlns:ds="http://schemas.openxmlformats.org/officeDocument/2006/customXml" ds:itemID="{8B4934AB-FC92-4953-A0DB-F95EBC669567}">
  <ds:schemaRefs/>
</ds:datastoreItem>
</file>

<file path=customXml/itemProps18.xml><?xml version="1.0" encoding="utf-8"?>
<ds:datastoreItem xmlns:ds="http://schemas.openxmlformats.org/officeDocument/2006/customXml" ds:itemID="{2BBCE207-AA19-40B6-BFD6-AE298E52679C}">
  <ds:schemaRefs/>
</ds:datastoreItem>
</file>

<file path=customXml/itemProps19.xml><?xml version="1.0" encoding="utf-8"?>
<ds:datastoreItem xmlns:ds="http://schemas.openxmlformats.org/officeDocument/2006/customXml" ds:itemID="{7548B83B-3304-4B3B-9553-E6FAE574491E}">
  <ds:schemaRefs/>
</ds:datastoreItem>
</file>

<file path=customXml/itemProps20.xml><?xml version="1.0" encoding="utf-8"?>
<ds:datastoreItem xmlns:ds="http://schemas.openxmlformats.org/officeDocument/2006/customXml" ds:itemID="{E72E6820-E1AE-4FFB-889D-841166CB55D8}">
  <ds:schemaRefs/>
</ds:datastoreItem>
</file>

<file path=customXml/itemProps21.xml><?xml version="1.0" encoding="utf-8"?>
<ds:datastoreItem xmlns:ds="http://schemas.openxmlformats.org/officeDocument/2006/customXml" ds:itemID="{F29CE5A0-CA1D-40FD-B8F6-93065BF89032}">
  <ds:schemaRefs/>
</ds:datastoreItem>
</file>

<file path=customXml/itemProps22.xml><?xml version="1.0" encoding="utf-8"?>
<ds:datastoreItem xmlns:ds="http://schemas.openxmlformats.org/officeDocument/2006/customXml" ds:itemID="{6203F967-5CFD-4E07-84B5-6C7750311B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Rai</dc:creator>
  <cp:lastModifiedBy>Rahul Rai</cp:lastModifiedBy>
  <dcterms:created xsi:type="dcterms:W3CDTF">2026-06-18T18:40:37Z</dcterms:created>
  <dcterms:modified xsi:type="dcterms:W3CDTF">2026-06-20T21:36:53Z</dcterms:modified>
</cp:coreProperties>
</file>